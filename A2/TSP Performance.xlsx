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_IIT BHU\Hands-on Gurobi\Assignment 2\"/>
    </mc:Choice>
  </mc:AlternateContent>
  <bookViews>
    <workbookView xWindow="0" yWindow="0" windowWidth="22992" windowHeight="9180" activeTab="1"/>
  </bookViews>
  <sheets>
    <sheet name="warm-start template" sheetId="2" r:id="rId1"/>
    <sheet name="Param tuning template" sheetId="3" r:id="rId2"/>
  </sheets>
  <calcPr calcId="152511"/>
</workbook>
</file>

<file path=xl/calcChain.xml><?xml version="1.0" encoding="utf-8"?>
<calcChain xmlns="http://schemas.openxmlformats.org/spreadsheetml/2006/main">
  <c r="D9" i="3" l="1"/>
  <c r="D8" i="3"/>
  <c r="D7" i="3"/>
  <c r="D6" i="3"/>
  <c r="D5" i="3"/>
  <c r="D4" i="3"/>
  <c r="D3" i="3"/>
  <c r="H4" i="2"/>
  <c r="H5" i="2"/>
  <c r="H6" i="2"/>
  <c r="H7" i="2"/>
  <c r="H8" i="2"/>
  <c r="H9" i="2"/>
  <c r="H3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<sst xmlns="http://schemas.openxmlformats.org/spreadsheetml/2006/main" count="34" uniqueCount="19">
  <si>
    <t>Route distance (km)</t>
  </si>
  <si>
    <t>Mip Gap (%)</t>
  </si>
  <si>
    <t>Solution time (seconds)</t>
  </si>
  <si>
    <t>#Cities</t>
  </si>
  <si>
    <t>MIP (Gurobi)</t>
  </si>
  <si>
    <t>or-tools</t>
  </si>
  <si>
    <t>Gurobi-Warm-Start</t>
  </si>
  <si>
    <t>% red (warm-start)</t>
  </si>
  <si>
    <t>Param setting - 1</t>
  </si>
  <si>
    <t>Param setting - 2</t>
  </si>
  <si>
    <t>Param setting - 3</t>
  </si>
  <si>
    <t>Param setting - 4</t>
  </si>
  <si>
    <t>Param setting - 5</t>
  </si>
  <si>
    <t>Write params value</t>
  </si>
  <si>
    <t>Heuristics = 0.5</t>
  </si>
  <si>
    <t>cuts = 2</t>
  </si>
  <si>
    <t>cuts = 3</t>
  </si>
  <si>
    <t>presolve = 2</t>
  </si>
  <si>
    <t>cuts = 3, presolve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</si>
</sst>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1" fillId="0" borderId="4" xfId="0" applyFont="1" applyBorder="1" applyAlignment="1">
      <alignment horizontal="center"/>
    </xf>
    <xf numFmtId="0" fontId="2" fillId="0" borderId="6" xfId="0" applyFont="1" applyBorder="1"/>
    <xf numFmtId="0" fontId="2" fillId="0" borderId="5" xfId="0" applyFont="1" applyBorder="1"/>
    <xf numFmtId="0" fontId="0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Fill="1" applyBorder="1" applyAlignment="1"/>
    <xf numFmtId="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"/>
  <sheetViews>
    <sheetView workbookViewId="0">
      <selection activeCell="G4" sqref="G4"/>
    </sheetView>
  </sheetViews>
  <sheetFormatPr defaultColWidth="12.6640625" defaultRowHeight="15.75" customHeight="1" x14ac:dyDescent="0.25"/>
  <cols>
    <col min="7" max="7" width="18.109375" bestFit="1" customWidth="1"/>
    <col min="8" max="8" width="17.88671875" bestFit="1" customWidth="1"/>
  </cols>
  <sheetData>
    <row r="1" spans="1:8" x14ac:dyDescent="0.25">
      <c r="A1" s="1"/>
      <c r="B1" s="7" t="s">
        <v>0</v>
      </c>
      <c r="C1" s="8"/>
      <c r="D1" s="9" t="s">
        <v>1</v>
      </c>
      <c r="E1" s="7" t="s">
        <v>2</v>
      </c>
      <c r="F1" s="11"/>
      <c r="G1" s="8"/>
      <c r="H1" s="2"/>
    </row>
    <row r="2" spans="1:8" x14ac:dyDescent="0.25">
      <c r="A2" s="3" t="s">
        <v>3</v>
      </c>
      <c r="B2" s="3" t="s">
        <v>4</v>
      </c>
      <c r="C2" s="3" t="s">
        <v>5</v>
      </c>
      <c r="D2" s="10"/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25">
      <c r="A3" s="5">
        <v>10</v>
      </c>
      <c r="B3" s="5">
        <v>4400.79</v>
      </c>
      <c r="C3" s="5">
        <v>4396</v>
      </c>
      <c r="D3" s="5">
        <f t="shared" ref="D3:D9" si="0">ROUND(100*(C3-B3)/C3, 1)</f>
        <v>-0.1</v>
      </c>
      <c r="E3" s="5">
        <v>0.33</v>
      </c>
      <c r="F3" s="5">
        <v>1.49388313293457E-2</v>
      </c>
      <c r="G3" s="4">
        <v>0.48</v>
      </c>
      <c r="H3" s="16">
        <f>(E3-G3)*100/E3</f>
        <v>-45.454545454545439</v>
      </c>
    </row>
    <row r="4" spans="1:8" x14ac:dyDescent="0.25">
      <c r="A4" s="5">
        <v>20</v>
      </c>
      <c r="B4" s="5">
        <v>5807.2</v>
      </c>
      <c r="C4" s="5">
        <v>5798</v>
      </c>
      <c r="D4" s="5">
        <f t="shared" si="0"/>
        <v>-0.2</v>
      </c>
      <c r="E4" s="5">
        <v>0.6</v>
      </c>
      <c r="F4" s="5">
        <v>0</v>
      </c>
      <c r="G4" s="4">
        <v>1.22</v>
      </c>
      <c r="H4" s="16">
        <f t="shared" ref="H4:H9" si="1">(E4-G4)*100/E4</f>
        <v>-103.33333333333334</v>
      </c>
    </row>
    <row r="5" spans="1:8" x14ac:dyDescent="0.25">
      <c r="A5" s="5">
        <v>30</v>
      </c>
      <c r="B5" s="5">
        <v>7423.58</v>
      </c>
      <c r="C5" s="5">
        <v>7409</v>
      </c>
      <c r="D5" s="5">
        <f t="shared" si="0"/>
        <v>-0.2</v>
      </c>
      <c r="E5" s="5">
        <v>3.35</v>
      </c>
      <c r="F5" s="5">
        <v>1.15151405334472E-2</v>
      </c>
      <c r="G5" s="4">
        <v>2.14</v>
      </c>
      <c r="H5" s="16">
        <f t="shared" si="1"/>
        <v>36.119402985074629</v>
      </c>
    </row>
    <row r="6" spans="1:8" x14ac:dyDescent="0.25">
      <c r="A6" s="5">
        <v>40</v>
      </c>
      <c r="B6" s="5">
        <v>8392.16</v>
      </c>
      <c r="C6" s="5">
        <v>8391</v>
      </c>
      <c r="D6" s="5">
        <f t="shared" si="0"/>
        <v>0</v>
      </c>
      <c r="E6" s="5">
        <v>619.66999999999996</v>
      </c>
      <c r="F6" s="5">
        <v>6.2453508377075098E-2</v>
      </c>
      <c r="G6" s="4">
        <v>379.37</v>
      </c>
      <c r="H6" s="16">
        <f t="shared" si="1"/>
        <v>38.778704794487382</v>
      </c>
    </row>
    <row r="7" spans="1:8" x14ac:dyDescent="0.25">
      <c r="A7" s="5">
        <v>50</v>
      </c>
      <c r="B7" s="5">
        <v>9374.59</v>
      </c>
      <c r="C7" s="5">
        <v>9607</v>
      </c>
      <c r="D7" s="5">
        <f t="shared" si="0"/>
        <v>2.4</v>
      </c>
      <c r="E7" s="5">
        <v>1660.57</v>
      </c>
      <c r="F7" s="5">
        <v>9.1784477233886705E-2</v>
      </c>
      <c r="G7" s="4">
        <v>1894.95</v>
      </c>
      <c r="H7" s="16">
        <f t="shared" si="1"/>
        <v>-14.114430587087574</v>
      </c>
    </row>
    <row r="8" spans="1:8" x14ac:dyDescent="0.25">
      <c r="A8" s="5">
        <v>70</v>
      </c>
      <c r="B8" s="5">
        <v>19573.05</v>
      </c>
      <c r="C8" s="5">
        <v>20248</v>
      </c>
      <c r="D8" s="5">
        <f t="shared" si="0"/>
        <v>3.3</v>
      </c>
      <c r="E8" s="5">
        <v>333.65</v>
      </c>
      <c r="F8" s="5">
        <v>0.31875681877136203</v>
      </c>
      <c r="G8" s="4">
        <v>439.37</v>
      </c>
      <c r="H8" s="16">
        <f t="shared" si="1"/>
        <v>-31.685898396523317</v>
      </c>
    </row>
    <row r="9" spans="1:8" x14ac:dyDescent="0.25">
      <c r="A9" s="5">
        <v>100</v>
      </c>
      <c r="B9" s="5">
        <v>21561.32</v>
      </c>
      <c r="C9" s="5">
        <v>22502</v>
      </c>
      <c r="D9" s="5">
        <f t="shared" si="0"/>
        <v>4.2</v>
      </c>
      <c r="E9" s="5">
        <v>2622.15</v>
      </c>
      <c r="F9" s="5">
        <v>0.38503718376159601</v>
      </c>
      <c r="G9" s="4">
        <v>1933.22</v>
      </c>
      <c r="H9" s="16">
        <f t="shared" si="1"/>
        <v>26.273477871212553</v>
      </c>
    </row>
  </sheetData>
  <mergeCells count="3">
    <mergeCell ref="B1:C1"/>
    <mergeCell ref="D1:D2"/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9"/>
  <sheetViews>
    <sheetView tabSelected="1" workbookViewId="0">
      <selection activeCell="E21" sqref="E21"/>
    </sheetView>
  </sheetViews>
  <sheetFormatPr defaultColWidth="12.6640625" defaultRowHeight="15.75" customHeight="1" x14ac:dyDescent="0.25"/>
  <cols>
    <col min="1" max="1" width="15" bestFit="1" customWidth="1"/>
    <col min="7" max="7" width="15.6640625" customWidth="1"/>
    <col min="8" max="8" width="15.21875" customWidth="1"/>
    <col min="9" max="11" width="14.109375" customWidth="1"/>
  </cols>
  <sheetData>
    <row r="1" spans="1:11" x14ac:dyDescent="0.25">
      <c r="A1" s="1"/>
      <c r="B1" s="7" t="s">
        <v>0</v>
      </c>
      <c r="C1" s="8"/>
      <c r="D1" s="9" t="s">
        <v>1</v>
      </c>
      <c r="E1" s="7" t="s">
        <v>2</v>
      </c>
      <c r="F1" s="11"/>
      <c r="G1" s="8"/>
      <c r="H1" s="2"/>
    </row>
    <row r="2" spans="1:11" x14ac:dyDescent="0.25">
      <c r="A2" s="3" t="s">
        <v>3</v>
      </c>
      <c r="B2" s="3" t="s">
        <v>4</v>
      </c>
      <c r="C2" s="3" t="s">
        <v>5</v>
      </c>
      <c r="D2" s="10"/>
      <c r="E2" s="3" t="s">
        <v>4</v>
      </c>
      <c r="F2" s="3" t="s">
        <v>5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</row>
    <row r="3" spans="1:11" x14ac:dyDescent="0.25">
      <c r="A3" s="5">
        <v>10</v>
      </c>
      <c r="B3" s="5">
        <v>4400.79</v>
      </c>
      <c r="C3" s="5">
        <v>4396</v>
      </c>
      <c r="D3" s="5">
        <f t="shared" ref="D3:D9" si="0">ROUND(100*(C3-B3)/C3, 1)</f>
        <v>-0.1</v>
      </c>
      <c r="E3" s="5">
        <v>0.33</v>
      </c>
      <c r="F3" s="5">
        <v>1.49388313293457E-2</v>
      </c>
      <c r="G3" s="3"/>
      <c r="H3" s="3"/>
      <c r="I3" s="3"/>
      <c r="J3" s="3"/>
      <c r="K3" s="3"/>
    </row>
    <row r="4" spans="1:11" x14ac:dyDescent="0.25">
      <c r="A4" s="5">
        <v>20</v>
      </c>
      <c r="B4" s="5">
        <v>5807.2</v>
      </c>
      <c r="C4" s="5">
        <v>5798</v>
      </c>
      <c r="D4" s="5">
        <f t="shared" si="0"/>
        <v>-0.2</v>
      </c>
      <c r="E4" s="5">
        <v>0.6</v>
      </c>
      <c r="F4" s="5">
        <v>0</v>
      </c>
      <c r="G4" s="3"/>
      <c r="H4" s="3"/>
      <c r="I4" s="3"/>
      <c r="J4" s="3"/>
      <c r="K4" s="3"/>
    </row>
    <row r="5" spans="1:11" x14ac:dyDescent="0.25">
      <c r="A5" s="5">
        <v>30</v>
      </c>
      <c r="B5" s="5">
        <v>7423.58</v>
      </c>
      <c r="C5" s="5">
        <v>7409</v>
      </c>
      <c r="D5" s="5">
        <f t="shared" si="0"/>
        <v>-0.2</v>
      </c>
      <c r="E5" s="5">
        <v>3.35</v>
      </c>
      <c r="F5" s="5">
        <v>1.15151405334472E-2</v>
      </c>
      <c r="G5" s="3"/>
      <c r="H5" s="3"/>
      <c r="I5" s="3"/>
      <c r="J5" s="3"/>
      <c r="K5" s="3"/>
    </row>
    <row r="6" spans="1:11" x14ac:dyDescent="0.25">
      <c r="A6" s="5">
        <v>40</v>
      </c>
      <c r="B6" s="5">
        <v>8392.16</v>
      </c>
      <c r="C6" s="5">
        <v>8391</v>
      </c>
      <c r="D6" s="5">
        <f t="shared" si="0"/>
        <v>0</v>
      </c>
      <c r="E6" s="5">
        <v>619.66999999999996</v>
      </c>
      <c r="F6" s="5">
        <v>6.2453508377075098E-2</v>
      </c>
      <c r="G6" s="5">
        <v>525.34</v>
      </c>
      <c r="H6" s="5">
        <v>818.76</v>
      </c>
      <c r="I6" s="5">
        <v>371.17</v>
      </c>
      <c r="J6" s="5">
        <v>519.03</v>
      </c>
      <c r="K6" s="5">
        <v>645.92999999999995</v>
      </c>
    </row>
    <row r="7" spans="1:11" x14ac:dyDescent="0.25">
      <c r="A7" s="5">
        <v>50</v>
      </c>
      <c r="B7" s="5">
        <v>9374.59</v>
      </c>
      <c r="C7" s="5">
        <v>9607</v>
      </c>
      <c r="D7" s="5">
        <f t="shared" si="0"/>
        <v>2.4</v>
      </c>
      <c r="E7" s="5">
        <v>1660.57</v>
      </c>
      <c r="F7" s="5">
        <v>9.1784477233886705E-2</v>
      </c>
      <c r="G7" s="5">
        <v>832.89</v>
      </c>
      <c r="H7" s="5">
        <v>746.44</v>
      </c>
      <c r="I7" s="5">
        <v>1217.6400000000001</v>
      </c>
      <c r="J7" s="5">
        <v>1158.46</v>
      </c>
      <c r="K7" s="5">
        <v>1951.74</v>
      </c>
    </row>
    <row r="8" spans="1:11" x14ac:dyDescent="0.25">
      <c r="A8" s="5">
        <v>70</v>
      </c>
      <c r="B8" s="5">
        <v>19573.05</v>
      </c>
      <c r="C8" s="5">
        <v>20248</v>
      </c>
      <c r="D8" s="5">
        <f t="shared" si="0"/>
        <v>3.3</v>
      </c>
      <c r="E8" s="5">
        <v>333.65</v>
      </c>
      <c r="F8" s="5">
        <v>0.31875681877136203</v>
      </c>
      <c r="G8" s="5">
        <v>593.47</v>
      </c>
      <c r="H8" s="5">
        <v>477.03</v>
      </c>
      <c r="I8" s="5">
        <v>360.77</v>
      </c>
      <c r="J8" s="5">
        <v>363.56</v>
      </c>
      <c r="K8" s="5">
        <v>496.67</v>
      </c>
    </row>
    <row r="9" spans="1:11" x14ac:dyDescent="0.25">
      <c r="A9" s="5">
        <v>100</v>
      </c>
      <c r="B9" s="5">
        <v>21561.32</v>
      </c>
      <c r="C9" s="5">
        <v>22502</v>
      </c>
      <c r="D9" s="5">
        <f t="shared" si="0"/>
        <v>4.2</v>
      </c>
      <c r="E9" s="5">
        <v>2622.15</v>
      </c>
      <c r="F9" s="5">
        <v>0.38503718376159601</v>
      </c>
      <c r="G9" s="3"/>
      <c r="H9" s="3"/>
      <c r="I9" s="3"/>
      <c r="J9" s="3"/>
      <c r="K9" s="3"/>
    </row>
    <row r="14" spans="1:11" x14ac:dyDescent="0.25">
      <c r="B14" s="13" t="s">
        <v>13</v>
      </c>
      <c r="C14" s="12"/>
      <c r="D14" s="12"/>
      <c r="E14" s="12"/>
      <c r="F14" s="12"/>
    </row>
    <row r="15" spans="1:11" x14ac:dyDescent="0.25">
      <c r="A15" s="6" t="s">
        <v>8</v>
      </c>
      <c r="B15" s="13" t="s">
        <v>14</v>
      </c>
      <c r="C15" s="12"/>
      <c r="D15" s="12"/>
      <c r="E15" s="12"/>
      <c r="F15" s="12"/>
    </row>
    <row r="16" spans="1:11" x14ac:dyDescent="0.25">
      <c r="A16" s="6" t="s">
        <v>9</v>
      </c>
      <c r="B16" s="14" t="s">
        <v>15</v>
      </c>
      <c r="C16" s="12"/>
      <c r="D16" s="12"/>
      <c r="E16" s="12"/>
      <c r="F16" s="12"/>
    </row>
    <row r="17" spans="1:6" x14ac:dyDescent="0.25">
      <c r="A17" s="6" t="s">
        <v>10</v>
      </c>
      <c r="B17" s="14" t="s">
        <v>16</v>
      </c>
      <c r="C17" s="12"/>
      <c r="D17" s="12"/>
      <c r="E17" s="12"/>
      <c r="F17" s="12"/>
    </row>
    <row r="18" spans="1:6" x14ac:dyDescent="0.25">
      <c r="A18" s="6" t="s">
        <v>11</v>
      </c>
      <c r="B18" s="14" t="s">
        <v>17</v>
      </c>
      <c r="C18" s="12"/>
      <c r="D18" s="12"/>
      <c r="E18" s="12"/>
      <c r="F18" s="12"/>
    </row>
    <row r="19" spans="1:6" x14ac:dyDescent="0.25">
      <c r="A19" s="6" t="s">
        <v>12</v>
      </c>
      <c r="B19" s="15" t="s">
        <v>18</v>
      </c>
      <c r="C19" s="15"/>
      <c r="D19" s="15"/>
      <c r="E19" s="15"/>
      <c r="F19" s="15"/>
    </row>
  </sheetData>
  <mergeCells count="9">
    <mergeCell ref="B18:F18"/>
    <mergeCell ref="B19:F19"/>
    <mergeCell ref="B1:C1"/>
    <mergeCell ref="D1:D2"/>
    <mergeCell ref="E1:G1"/>
    <mergeCell ref="B14:F14"/>
    <mergeCell ref="B15:F15"/>
    <mergeCell ref="B16:F16"/>
    <mergeCell ref="B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warm-start template</vt:lpstr>
      <vt:lpstr>Param tuning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</cp:lastModifiedBy>
  <dcterms:modified xsi:type="dcterms:W3CDTF">2023-04-03T20:34:33Z</dcterms:modified>
</cp:coreProperties>
</file>