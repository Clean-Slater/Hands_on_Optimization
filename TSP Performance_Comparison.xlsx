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space_IIT BHU\Hands-on Gurobi\Assignment 1\"/>
    </mc:Choice>
  </mc:AlternateContent>
  <bookViews>
    <workbookView xWindow="0" yWindow="0" windowWidth="22956" windowHeight="306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E10" i="1" l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<sst xmlns="http://schemas.openxmlformats.org/spreadsheetml/2006/main" count="8" uniqueCount="6">
  <si>
    <t>Route distance (km)</t>
  </si>
  <si>
    <t>Mip Gap (%)</t>
  </si>
  <si>
    <t>Solution time (seconds)</t>
  </si>
  <si>
    <t>#Cities</t>
  </si>
  <si>
    <t>MIP (Gurobi)</t>
  </si>
  <si>
    <t>or-tools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</si>
</sst>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1" fillId="0" borderId="4" xfId="0" applyFont="1" applyBorder="1" applyAlignment="1">
      <alignment horizontal="center"/>
    </xf>
    <xf numFmtId="0" fontId="2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sz="1200" b="0">
                <a:solidFill>
                  <a:srgbClr val="757575"/>
                </a:solidFill>
                <a:latin typeface="+mn-lt"/>
              </a:defRPr>
            </a:pPr>
            <a:r>
              <a:rPr lang="en-IN" sz="1200" b="0">
                <a:solidFill>
                  <a:srgbClr val="757575"/>
                </a:solidFill>
                <a:latin typeface="+mn-lt"/>
              </a:rPr>
              <a:t>Route distance (km)/MIP (Gurobi) and or-tools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Sheet1!$C$2:$C$3</c:f>
              <c:strCache>
                <c:ptCount val="2"/>
                <c:pt idx="0">
                  <c:v>Route distance (km)</c:v>
                </c:pt>
                <c:pt idx="1">
                  <c:v>MIP (Gurobi)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Sheet1!$B$4:$B$10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70</c:v>
                </c:pt>
                <c:pt idx="6">
                  <c:v>100</c:v>
                </c:pt>
              </c:numCache>
            </c:numRef>
          </c:cat>
          <c:val>
            <c:numRef>
              <c:f>Sheet1!$C$4:$C$10</c:f>
              <c:numCache>
                <c:formatCode>General</c:formatCode>
                <c:ptCount val="7"/>
                <c:pt idx="0">
                  <c:v>4400.79</c:v>
                </c:pt>
                <c:pt idx="1">
                  <c:v>5807.2</c:v>
                </c:pt>
                <c:pt idx="2">
                  <c:v>7423.58</c:v>
                </c:pt>
                <c:pt idx="3">
                  <c:v>8392.16</c:v>
                </c:pt>
                <c:pt idx="4">
                  <c:v>9374.59</c:v>
                </c:pt>
                <c:pt idx="5">
                  <c:v>19573.05</c:v>
                </c:pt>
                <c:pt idx="6">
                  <c:v>21561.32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Sheet1!$D$2:$D$3</c:f>
              <c:strCache>
                <c:ptCount val="2"/>
                <c:pt idx="0">
                  <c:v>Route distance (km)</c:v>
                </c:pt>
                <c:pt idx="1">
                  <c:v>or-tools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Sheet1!$B$4:$B$10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70</c:v>
                </c:pt>
                <c:pt idx="6">
                  <c:v>100</c:v>
                </c:pt>
              </c:numCache>
            </c:numRef>
          </c:cat>
          <c:val>
            <c:numRef>
              <c:f>Sheet1!$D$4:$D$10</c:f>
              <c:numCache>
                <c:formatCode>General</c:formatCode>
                <c:ptCount val="7"/>
                <c:pt idx="0">
                  <c:v>4396</c:v>
                </c:pt>
                <c:pt idx="1">
                  <c:v>5798</c:v>
                </c:pt>
                <c:pt idx="2">
                  <c:v>7409</c:v>
                </c:pt>
                <c:pt idx="3">
                  <c:v>8391</c:v>
                </c:pt>
                <c:pt idx="4">
                  <c:v>9607</c:v>
                </c:pt>
                <c:pt idx="5">
                  <c:v>20248</c:v>
                </c:pt>
                <c:pt idx="6">
                  <c:v>22502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3043088"/>
        <c:axId val="659995824"/>
      </c:lineChart>
      <c:catAx>
        <c:axId val="333043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2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sz="1200" b="0">
                    <a:solidFill>
                      <a:srgbClr val="000000"/>
                    </a:solidFill>
                    <a:latin typeface="+mn-lt"/>
                  </a:rPr>
                  <a:t>#Cities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59995824"/>
        <c:crosses val="autoZero"/>
        <c:auto val="1"/>
        <c:lblAlgn val="ctr"/>
        <c:lblOffset val="100"/>
        <c:noMultiLvlLbl val="1"/>
      </c:catAx>
      <c:valAx>
        <c:axId val="6599958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33043088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sz="10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sz="1200" b="0">
                <a:solidFill>
                  <a:srgbClr val="757575"/>
                </a:solidFill>
                <a:latin typeface="+mn-lt"/>
              </a:defRPr>
            </a:pPr>
            <a:r>
              <a:rPr lang="en-IN" sz="1200" b="0">
                <a:solidFill>
                  <a:srgbClr val="757575"/>
                </a:solidFill>
                <a:latin typeface="+mn-lt"/>
              </a:rPr>
              <a:t>Solution time (seconds)/MIP (Gurobi) and or-tools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Sheet1!$F$2:$F$3</c:f>
              <c:strCache>
                <c:ptCount val="2"/>
                <c:pt idx="0">
                  <c:v>Solution time (seconds)</c:v>
                </c:pt>
                <c:pt idx="1">
                  <c:v>MIP (Gurobi)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Sheet1!$B$4:$B$10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70</c:v>
                </c:pt>
                <c:pt idx="6">
                  <c:v>100</c:v>
                </c:pt>
              </c:numCache>
            </c:numRef>
          </c:cat>
          <c:val>
            <c:numRef>
              <c:f>Sheet1!$F$4:$F$10</c:f>
              <c:numCache>
                <c:formatCode>General</c:formatCode>
                <c:ptCount val="7"/>
                <c:pt idx="0">
                  <c:v>0.33</c:v>
                </c:pt>
                <c:pt idx="1">
                  <c:v>0.6</c:v>
                </c:pt>
                <c:pt idx="2">
                  <c:v>3.35</c:v>
                </c:pt>
                <c:pt idx="3">
                  <c:v>619.66999999999996</c:v>
                </c:pt>
                <c:pt idx="4">
                  <c:v>1660.57</c:v>
                </c:pt>
                <c:pt idx="5">
                  <c:v>333.65</c:v>
                </c:pt>
                <c:pt idx="6">
                  <c:v>2622.15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Sheet1!$G$2:$G$3</c:f>
              <c:strCache>
                <c:ptCount val="2"/>
                <c:pt idx="0">
                  <c:v>Solution time (seconds)</c:v>
                </c:pt>
                <c:pt idx="1">
                  <c:v>or-tools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Sheet1!$B$4:$B$10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70</c:v>
                </c:pt>
                <c:pt idx="6">
                  <c:v>100</c:v>
                </c:pt>
              </c:numCache>
            </c:numRef>
          </c:cat>
          <c:val>
            <c:numRef>
              <c:f>Sheet1!$G$4:$G$10</c:f>
              <c:numCache>
                <c:formatCode>General</c:formatCode>
                <c:ptCount val="7"/>
                <c:pt idx="0">
                  <c:v>1.49388313293457E-2</c:v>
                </c:pt>
                <c:pt idx="1">
                  <c:v>0</c:v>
                </c:pt>
                <c:pt idx="2">
                  <c:v>1.15151405334472E-2</c:v>
                </c:pt>
                <c:pt idx="3">
                  <c:v>6.2453508377075098E-2</c:v>
                </c:pt>
                <c:pt idx="4">
                  <c:v>9.1784477233886705E-2</c:v>
                </c:pt>
                <c:pt idx="5">
                  <c:v>0.31875681877136203</c:v>
                </c:pt>
                <c:pt idx="6">
                  <c:v>0.38503718376159601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9995040"/>
        <c:axId val="659997392"/>
      </c:lineChart>
      <c:catAx>
        <c:axId val="659995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2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sz="1200" b="0">
                    <a:solidFill>
                      <a:srgbClr val="000000"/>
                    </a:solidFill>
                    <a:latin typeface="+mn-lt"/>
                  </a:rPr>
                  <a:t>#Cities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59997392"/>
        <c:crosses val="autoZero"/>
        <c:auto val="1"/>
        <c:lblAlgn val="ctr"/>
        <c:lblOffset val="100"/>
        <c:noMultiLvlLbl val="1"/>
      </c:catAx>
      <c:valAx>
        <c:axId val="6599973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59995040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sz="10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714375</xdr:colOff>
      <xdr:row>1</xdr:row>
      <xdr:rowOff>0</xdr:rowOff>
    </xdr:from>
    <xdr:ext cx="5541646" cy="2971800"/>
    <xdr:graphicFrame macro="">
      <xdr:nvGraphicFramePr>
        <xdr:cNvPr id="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571501</xdr:colOff>
      <xdr:row>16</xdr:row>
      <xdr:rowOff>182880</xdr:rowOff>
    </xdr:from>
    <xdr:ext cx="6400800" cy="3649980"/>
    <xdr:graphicFrame macro="">
      <xdr:nvGraphicFramePr>
        <xdr:cNvPr id="3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"/>
  <sheetViews>
    <sheetView tabSelected="1" workbookViewId="0">
      <selection activeCell="E15" sqref="E15"/>
    </sheetView>
  </sheetViews>
  <sheetFormatPr defaultColWidth="12.6640625" defaultRowHeight="15.75" customHeight="1" x14ac:dyDescent="0.25"/>
  <cols>
    <col min="6" max="6" width="12.109375" customWidth="1"/>
    <col min="7" max="7" width="10.33203125" customWidth="1"/>
  </cols>
  <sheetData>
    <row r="1" spans="1:7" x14ac:dyDescent="0.25">
      <c r="A1" s="1"/>
      <c r="B1" s="1"/>
      <c r="C1" s="2"/>
      <c r="D1" s="2"/>
      <c r="E1" s="2"/>
      <c r="F1" s="2"/>
      <c r="G1" s="2"/>
    </row>
    <row r="2" spans="1:7" x14ac:dyDescent="0.25">
      <c r="A2" s="1"/>
      <c r="B2" s="3"/>
      <c r="C2" s="8" t="s">
        <v>0</v>
      </c>
      <c r="D2" s="9"/>
      <c r="E2" s="10" t="s">
        <v>1</v>
      </c>
      <c r="F2" s="8" t="s">
        <v>2</v>
      </c>
      <c r="G2" s="9"/>
    </row>
    <row r="3" spans="1:7" x14ac:dyDescent="0.25">
      <c r="A3" s="2"/>
      <c r="B3" s="4" t="s">
        <v>3</v>
      </c>
      <c r="C3" s="4" t="s">
        <v>4</v>
      </c>
      <c r="D3" s="4" t="s">
        <v>5</v>
      </c>
      <c r="E3" s="11"/>
      <c r="F3" s="4" t="s">
        <v>4</v>
      </c>
      <c r="G3" s="4" t="s">
        <v>5</v>
      </c>
    </row>
    <row r="4" spans="1:7" x14ac:dyDescent="0.25">
      <c r="A4" s="5"/>
      <c r="B4" s="6">
        <v>10</v>
      </c>
      <c r="C4" s="6">
        <v>4400.79</v>
      </c>
      <c r="D4" s="6">
        <v>4396</v>
      </c>
      <c r="E4" s="7">
        <f t="shared" ref="E4:E10" si="0">ROUND(100*(D4-C4)/D4, 1)</f>
        <v>-0.1</v>
      </c>
      <c r="F4" s="6">
        <v>0.33</v>
      </c>
      <c r="G4" s="6">
        <v>1.49388313293457E-2</v>
      </c>
    </row>
    <row r="5" spans="1:7" x14ac:dyDescent="0.25">
      <c r="A5" s="5"/>
      <c r="B5" s="6">
        <v>20</v>
      </c>
      <c r="C5" s="6">
        <v>5807.2</v>
      </c>
      <c r="D5" s="6">
        <v>5798</v>
      </c>
      <c r="E5" s="7">
        <f t="shared" si="0"/>
        <v>-0.2</v>
      </c>
      <c r="F5" s="6">
        <v>0.6</v>
      </c>
      <c r="G5" s="6">
        <v>0</v>
      </c>
    </row>
    <row r="6" spans="1:7" x14ac:dyDescent="0.25">
      <c r="A6" s="5"/>
      <c r="B6" s="6">
        <v>30</v>
      </c>
      <c r="C6" s="6">
        <v>7423.58</v>
      </c>
      <c r="D6" s="6">
        <v>7409</v>
      </c>
      <c r="E6" s="7">
        <f t="shared" si="0"/>
        <v>-0.2</v>
      </c>
      <c r="F6" s="6">
        <v>3.35</v>
      </c>
      <c r="G6" s="6">
        <v>1.15151405334472E-2</v>
      </c>
    </row>
    <row r="7" spans="1:7" x14ac:dyDescent="0.25">
      <c r="A7" s="5"/>
      <c r="B7" s="6">
        <v>40</v>
      </c>
      <c r="C7" s="6">
        <v>8392.16</v>
      </c>
      <c r="D7" s="6">
        <v>8391</v>
      </c>
      <c r="E7" s="7">
        <f t="shared" si="0"/>
        <v>0</v>
      </c>
      <c r="F7" s="6">
        <v>619.66999999999996</v>
      </c>
      <c r="G7" s="6">
        <v>6.2453508377075098E-2</v>
      </c>
    </row>
    <row r="8" spans="1:7" x14ac:dyDescent="0.25">
      <c r="A8" s="5"/>
      <c r="B8" s="6">
        <v>50</v>
      </c>
      <c r="C8" s="6">
        <v>9374.59</v>
      </c>
      <c r="D8" s="6">
        <v>9607</v>
      </c>
      <c r="E8" s="7">
        <f t="shared" si="0"/>
        <v>2.4</v>
      </c>
      <c r="F8" s="6">
        <v>1660.57</v>
      </c>
      <c r="G8" s="6">
        <v>9.1784477233886705E-2</v>
      </c>
    </row>
    <row r="9" spans="1:7" x14ac:dyDescent="0.25">
      <c r="A9" s="5"/>
      <c r="B9" s="6">
        <v>70</v>
      </c>
      <c r="C9" s="6">
        <v>19573.05</v>
      </c>
      <c r="D9" s="6">
        <v>20248</v>
      </c>
      <c r="E9" s="7">
        <f t="shared" si="0"/>
        <v>3.3</v>
      </c>
      <c r="F9" s="6">
        <v>333.65</v>
      </c>
      <c r="G9" s="6">
        <v>0.31875681877136203</v>
      </c>
    </row>
    <row r="10" spans="1:7" x14ac:dyDescent="0.25">
      <c r="A10" s="5"/>
      <c r="B10" s="6">
        <v>100</v>
      </c>
      <c r="C10" s="6">
        <v>21561.32</v>
      </c>
      <c r="D10" s="6">
        <v>22502</v>
      </c>
      <c r="E10" s="7">
        <f t="shared" si="0"/>
        <v>4.2</v>
      </c>
      <c r="F10" s="6">
        <v>2622.15</v>
      </c>
      <c r="G10" s="6">
        <v>0.38503718376159601</v>
      </c>
    </row>
  </sheetData>
  <mergeCells count="3">
    <mergeCell ref="C2:D2"/>
    <mergeCell ref="E2:E3"/>
    <mergeCell ref="F2:G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</cp:lastModifiedBy>
  <dcterms:modified xsi:type="dcterms:W3CDTF">2023-02-28T12:30:13Z</dcterms:modified>
</cp:coreProperties>
</file>